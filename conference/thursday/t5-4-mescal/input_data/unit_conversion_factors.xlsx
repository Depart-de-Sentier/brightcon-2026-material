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th\PycharmProjects\brightcon-2026-material\conference\thursday\t5-4-mescal\input_data\"/>
    </mc:Choice>
  </mc:AlternateContent>
  <xr:revisionPtr revIDLastSave="0" documentId="13_ncr:1_{BCA446C9-A608-45FE-A6D9-408489B8D63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8" i="1" l="1"/>
  <c r="C14" i="1"/>
  <c r="C39" i="1"/>
  <c r="C37" i="1"/>
  <c r="C36" i="1"/>
  <c r="C35" i="1"/>
  <c r="C34" i="1"/>
  <c r="C33" i="1"/>
  <c r="C32" i="1"/>
  <c r="C31" i="1"/>
  <c r="C27" i="1"/>
  <c r="C26" i="1"/>
  <c r="C23" i="1"/>
  <c r="C22" i="1"/>
  <c r="C21" i="1"/>
  <c r="C19" i="1"/>
  <c r="C18" i="1"/>
  <c r="C17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<sst xmlns="http://schemas.openxmlformats.org/spreadsheetml/2006/main" count="182" uniqueCount="51">
  <si>
    <t>Name</t>
  </si>
  <si>
    <t>Type</t>
  </si>
  <si>
    <t>Value</t>
  </si>
  <si>
    <t>LCA</t>
  </si>
  <si>
    <t>ESM</t>
  </si>
  <si>
    <t>Assumptions &amp; Sources</t>
  </si>
  <si>
    <t>CCGT</t>
  </si>
  <si>
    <t>Construction</t>
  </si>
  <si>
    <t>unit</t>
  </si>
  <si>
    <t>kilowatt</t>
  </si>
  <si>
    <t>Plant capacity (400 MWe)</t>
  </si>
  <si>
    <t>Operation</t>
  </si>
  <si>
    <t>kilowatt hour</t>
  </si>
  <si>
    <t>CCGT_CC</t>
  </si>
  <si>
    <t>COAL</t>
  </si>
  <si>
    <t>Resource</t>
  </si>
  <si>
    <t>kilogram</t>
  </si>
  <si>
    <t>Bituminous coal LHV (27.91 MJ/kg): \cite{wernet2016}</t>
  </si>
  <si>
    <t>COAL_IGCC</t>
  </si>
  <si>
    <t>Plant capacity (450 MWe)</t>
  </si>
  <si>
    <t>COAL_IGCC_CC</t>
  </si>
  <si>
    <t>HYDRO_DAM</t>
  </si>
  <si>
    <t>Capacity (22583 MWe): \cite{wernet2016}</t>
  </si>
  <si>
    <t>NG_EHP</t>
  </si>
  <si>
    <t>cubic meter</t>
  </si>
  <si>
    <t>natural gas LHV (39 MJ/m3): \cite{wernet2016}</t>
  </si>
  <si>
    <t>NUCLEAR</t>
  </si>
  <si>
    <t>power plant capacity (1 GW)</t>
  </si>
  <si>
    <t>PV_ROOF</t>
  </si>
  <si>
    <t>Capacity (3 kWp)</t>
  </si>
  <si>
    <t>PV_GROUND</t>
  </si>
  <si>
    <t>Capacity (570 kWp)</t>
  </si>
  <si>
    <t>URANIUM</t>
  </si>
  <si>
    <t>Nuclear fuel heat value (3900 GJ/kg) \cite{worldnuclearassociation}</t>
  </si>
  <si>
    <t>WIND_OFFSHORE</t>
  </si>
  <si>
    <t>Capacity (2 MW)</t>
  </si>
  <si>
    <t>WIND_OFFSHORE_FIXED</t>
  </si>
  <si>
    <t>WIND_OFFSHORE_MOVING</t>
  </si>
  <si>
    <t>WIND_ONSHORE</t>
  </si>
  <si>
    <t>WIND_ONSHORE_CONNECTION</t>
  </si>
  <si>
    <t>WIND_ONSHORE_TURBINE</t>
  </si>
  <si>
    <t>natural gas</t>
  </si>
  <si>
    <t>Other</t>
  </si>
  <si>
    <t>natural gas density (0.777 kg/m3): \cite{engineeringtoolbox2003}</t>
  </si>
  <si>
    <t>LHV natural gas (13.1 kWh/kg), density natural gas (0.777 kg/m3): \cite{engineeringtoolbox2003}</t>
  </si>
  <si>
    <t>LHV natural gas (13.1 kWh/kg): \cite{engineeringtoolbox2003}</t>
  </si>
  <si>
    <t>nuclear fuel element</t>
  </si>
  <si>
    <t>Flow</t>
  </si>
  <si>
    <t>NG_HP</t>
  </si>
  <si>
    <t>hard coal</t>
  </si>
  <si>
    <t>hard coal HHV (9.06 kWh/kg): \cite{engineeringtoolbox2003}, LHV-to-HHV ratio (0.95)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</si>
</sst>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0" workbookViewId="0">
      <selection activeCell="A30" sqref="A30:F30"/>
    </sheetView>
  </sheetViews>
  <sheetFormatPr defaultRowHeight="14.5" x14ac:dyDescent="0.35"/>
  <cols>
    <col min="1" max="1" width="28.08984375" bestFit="1" customWidth="1"/>
    <col min="2" max="2" width="11.7265625" bestFit="1" customWidth="1"/>
    <col min="3" max="3" width="11.81640625" bestFit="1" customWidth="1"/>
    <col min="4" max="5" width="12.26953125" bestFit="1" customWidth="1"/>
    <col min="6" max="6" width="84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f>1/400 / 1000</f>
        <v>2.5000000000000002E-6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>
        <f>1</f>
        <v>1</v>
      </c>
      <c r="D3" t="s">
        <v>12</v>
      </c>
      <c r="E3" t="s">
        <v>12</v>
      </c>
    </row>
    <row r="4" spans="1:6" x14ac:dyDescent="0.35">
      <c r="A4" t="s">
        <v>13</v>
      </c>
      <c r="B4" t="s">
        <v>7</v>
      </c>
      <c r="C4">
        <f>1/400 / 1000</f>
        <v>2.5000000000000002E-6</v>
      </c>
      <c r="D4" t="s">
        <v>8</v>
      </c>
      <c r="E4" t="s">
        <v>9</v>
      </c>
      <c r="F4" t="s">
        <v>10</v>
      </c>
    </row>
    <row r="5" spans="1:6" x14ac:dyDescent="0.35">
      <c r="A5" t="s">
        <v>13</v>
      </c>
      <c r="B5" t="s">
        <v>11</v>
      </c>
      <c r="C5">
        <f>1</f>
        <v>1</v>
      </c>
      <c r="D5" t="s">
        <v>12</v>
      </c>
      <c r="E5" t="s">
        <v>12</v>
      </c>
    </row>
    <row r="6" spans="1:6" x14ac:dyDescent="0.35">
      <c r="A6" t="s">
        <v>14</v>
      </c>
      <c r="B6" t="s">
        <v>15</v>
      </c>
      <c r="C6">
        <f>1 * 3.6 / 27.91</f>
        <v>0.12898602651379434</v>
      </c>
      <c r="D6" t="s">
        <v>16</v>
      </c>
      <c r="E6" t="s">
        <v>12</v>
      </c>
      <c r="F6" t="s">
        <v>17</v>
      </c>
    </row>
    <row r="7" spans="1:6" x14ac:dyDescent="0.35">
      <c r="A7" t="s">
        <v>18</v>
      </c>
      <c r="B7" t="s">
        <v>7</v>
      </c>
      <c r="C7">
        <f>1/450 / 1000</f>
        <v>2.2222222222222221E-6</v>
      </c>
      <c r="D7" t="s">
        <v>8</v>
      </c>
      <c r="E7" t="s">
        <v>9</v>
      </c>
      <c r="F7" t="s">
        <v>19</v>
      </c>
    </row>
    <row r="8" spans="1:6" x14ac:dyDescent="0.35">
      <c r="A8" t="s">
        <v>18</v>
      </c>
      <c r="B8" t="s">
        <v>11</v>
      </c>
      <c r="C8">
        <f>1</f>
        <v>1</v>
      </c>
      <c r="D8" t="s">
        <v>12</v>
      </c>
      <c r="E8" t="s">
        <v>12</v>
      </c>
    </row>
    <row r="9" spans="1:6" x14ac:dyDescent="0.35">
      <c r="A9" t="s">
        <v>20</v>
      </c>
      <c r="B9" t="s">
        <v>7</v>
      </c>
      <c r="C9">
        <f>1/450 / 1000</f>
        <v>2.2222222222222221E-6</v>
      </c>
      <c r="D9" t="s">
        <v>8</v>
      </c>
      <c r="E9" t="s">
        <v>9</v>
      </c>
      <c r="F9" t="s">
        <v>19</v>
      </c>
    </row>
    <row r="10" spans="1:6" x14ac:dyDescent="0.35">
      <c r="A10" t="s">
        <v>20</v>
      </c>
      <c r="B10" t="s">
        <v>11</v>
      </c>
      <c r="C10">
        <f>1</f>
        <v>1</v>
      </c>
      <c r="D10" t="s">
        <v>12</v>
      </c>
      <c r="E10" t="s">
        <v>12</v>
      </c>
    </row>
    <row r="11" spans="1:6" x14ac:dyDescent="0.35">
      <c r="A11" t="s">
        <v>21</v>
      </c>
      <c r="B11" t="s">
        <v>7</v>
      </c>
      <c r="C11">
        <f>1 / 22583 / 1000</f>
        <v>4.4281096399946864E-8</v>
      </c>
      <c r="D11" t="s">
        <v>8</v>
      </c>
      <c r="E11" t="s">
        <v>9</v>
      </c>
      <c r="F11" t="s">
        <v>22</v>
      </c>
    </row>
    <row r="12" spans="1:6" x14ac:dyDescent="0.35">
      <c r="A12" t="s">
        <v>21</v>
      </c>
      <c r="B12" t="s">
        <v>11</v>
      </c>
      <c r="C12">
        <f>1</f>
        <v>1</v>
      </c>
      <c r="D12" t="s">
        <v>12</v>
      </c>
      <c r="E12" t="s">
        <v>12</v>
      </c>
    </row>
    <row r="13" spans="1:6" x14ac:dyDescent="0.35">
      <c r="A13" t="s">
        <v>23</v>
      </c>
      <c r="B13" t="s">
        <v>15</v>
      </c>
      <c r="C13">
        <f>1 * 3.6 / 39</f>
        <v>9.2307692307692313E-2</v>
      </c>
      <c r="D13" t="s">
        <v>24</v>
      </c>
      <c r="E13" t="s">
        <v>12</v>
      </c>
      <c r="F13" t="s">
        <v>25</v>
      </c>
    </row>
    <row r="14" spans="1:6" x14ac:dyDescent="0.35">
      <c r="A14" t="s">
        <v>48</v>
      </c>
      <c r="B14" t="s">
        <v>15</v>
      </c>
      <c r="C14">
        <f>1 * 3.6 / 39</f>
        <v>9.2307692307692313E-2</v>
      </c>
      <c r="D14" t="s">
        <v>24</v>
      </c>
      <c r="E14" t="s">
        <v>12</v>
      </c>
      <c r="F14" t="s">
        <v>25</v>
      </c>
    </row>
    <row r="15" spans="1:6" x14ac:dyDescent="0.35">
      <c r="A15" t="s">
        <v>26</v>
      </c>
      <c r="B15" t="s">
        <v>7</v>
      </c>
      <c r="C15">
        <v>9.9999999999999995E-7</v>
      </c>
      <c r="D15" t="s">
        <v>8</v>
      </c>
      <c r="E15" t="s">
        <v>9</v>
      </c>
      <c r="F15" t="s">
        <v>27</v>
      </c>
    </row>
    <row r="16" spans="1:6" x14ac:dyDescent="0.35">
      <c r="A16" t="s">
        <v>26</v>
      </c>
      <c r="B16" t="s">
        <v>11</v>
      </c>
      <c r="C16">
        <v>1</v>
      </c>
      <c r="D16" t="s">
        <v>12</v>
      </c>
      <c r="E16" t="s">
        <v>12</v>
      </c>
    </row>
    <row r="17" spans="1:6" x14ac:dyDescent="0.35">
      <c r="A17" t="s">
        <v>28</v>
      </c>
      <c r="B17" t="s">
        <v>7</v>
      </c>
      <c r="C17">
        <f>1/3</f>
        <v>0.33333333333333331</v>
      </c>
      <c r="D17" t="s">
        <v>8</v>
      </c>
      <c r="E17" t="s">
        <v>9</v>
      </c>
      <c r="F17" t="s">
        <v>29</v>
      </c>
    </row>
    <row r="18" spans="1:6" x14ac:dyDescent="0.35">
      <c r="A18" t="s">
        <v>28</v>
      </c>
      <c r="B18" t="s">
        <v>11</v>
      </c>
      <c r="C18">
        <f>1</f>
        <v>1</v>
      </c>
      <c r="D18" t="s">
        <v>12</v>
      </c>
      <c r="E18" t="s">
        <v>12</v>
      </c>
    </row>
    <row r="19" spans="1:6" x14ac:dyDescent="0.35">
      <c r="A19" t="s">
        <v>30</v>
      </c>
      <c r="B19" t="s">
        <v>7</v>
      </c>
      <c r="C19">
        <f>1/570</f>
        <v>1.7543859649122807E-3</v>
      </c>
      <c r="D19" t="s">
        <v>8</v>
      </c>
      <c r="E19" t="s">
        <v>9</v>
      </c>
      <c r="F19" t="s">
        <v>31</v>
      </c>
    </row>
    <row r="20" spans="1:6" x14ac:dyDescent="0.35">
      <c r="A20" t="s">
        <v>30</v>
      </c>
      <c r="B20" t="s">
        <v>11</v>
      </c>
      <c r="C20">
        <v>1</v>
      </c>
      <c r="D20" t="s">
        <v>12</v>
      </c>
      <c r="E20" t="s">
        <v>12</v>
      </c>
    </row>
    <row r="21" spans="1:6" x14ac:dyDescent="0.35">
      <c r="A21" t="s">
        <v>32</v>
      </c>
      <c r="B21" t="s">
        <v>15</v>
      </c>
      <c r="C21">
        <f>1 * 3.6 / (3900*1000)</f>
        <v>9.2307692307692312E-7</v>
      </c>
      <c r="D21" t="s">
        <v>16</v>
      </c>
      <c r="E21" t="s">
        <v>12</v>
      </c>
      <c r="F21" t="s">
        <v>33</v>
      </c>
    </row>
    <row r="22" spans="1:6" x14ac:dyDescent="0.35">
      <c r="A22" t="s">
        <v>34</v>
      </c>
      <c r="B22" t="s">
        <v>7</v>
      </c>
      <c r="C22">
        <f>1000/2000000</f>
        <v>5.0000000000000001E-4</v>
      </c>
      <c r="D22" t="s">
        <v>8</v>
      </c>
      <c r="E22" t="s">
        <v>9</v>
      </c>
      <c r="F22" t="s">
        <v>35</v>
      </c>
    </row>
    <row r="23" spans="1:6" x14ac:dyDescent="0.35">
      <c r="A23" t="s">
        <v>34</v>
      </c>
      <c r="B23" t="s">
        <v>11</v>
      </c>
      <c r="C23">
        <f>1</f>
        <v>1</v>
      </c>
      <c r="D23" t="s">
        <v>12</v>
      </c>
      <c r="E23" t="s">
        <v>12</v>
      </c>
    </row>
    <row r="24" spans="1:6" x14ac:dyDescent="0.35">
      <c r="A24" t="s">
        <v>36</v>
      </c>
      <c r="B24" t="s">
        <v>7</v>
      </c>
      <c r="C24">
        <v>1</v>
      </c>
      <c r="D24" t="s">
        <v>8</v>
      </c>
      <c r="E24" t="s">
        <v>8</v>
      </c>
    </row>
    <row r="25" spans="1:6" x14ac:dyDescent="0.35">
      <c r="A25" t="s">
        <v>37</v>
      </c>
      <c r="B25" t="s">
        <v>7</v>
      </c>
      <c r="C25">
        <v>1</v>
      </c>
      <c r="D25" t="s">
        <v>8</v>
      </c>
      <c r="E25" t="s">
        <v>8</v>
      </c>
    </row>
    <row r="26" spans="1:6" x14ac:dyDescent="0.35">
      <c r="A26" t="s">
        <v>38</v>
      </c>
      <c r="B26" t="s">
        <v>7</v>
      </c>
      <c r="C26">
        <f>1000/2000000</f>
        <v>5.0000000000000001E-4</v>
      </c>
      <c r="D26" t="s">
        <v>8</v>
      </c>
      <c r="E26" t="s">
        <v>9</v>
      </c>
      <c r="F26" t="s">
        <v>35</v>
      </c>
    </row>
    <row r="27" spans="1:6" x14ac:dyDescent="0.35">
      <c r="A27" t="s">
        <v>38</v>
      </c>
      <c r="B27" t="s">
        <v>11</v>
      </c>
      <c r="C27">
        <f>1</f>
        <v>1</v>
      </c>
      <c r="D27" t="s">
        <v>12</v>
      </c>
      <c r="E27" t="s">
        <v>12</v>
      </c>
    </row>
    <row r="28" spans="1:6" x14ac:dyDescent="0.35">
      <c r="A28" t="s">
        <v>39</v>
      </c>
      <c r="B28" t="s">
        <v>7</v>
      </c>
      <c r="C28">
        <v>1</v>
      </c>
      <c r="D28" t="s">
        <v>8</v>
      </c>
      <c r="E28" t="s">
        <v>8</v>
      </c>
    </row>
    <row r="29" spans="1:6" x14ac:dyDescent="0.35">
      <c r="A29" t="s">
        <v>40</v>
      </c>
      <c r="B29" t="s">
        <v>7</v>
      </c>
      <c r="C29">
        <v>1</v>
      </c>
      <c r="D29" t="s">
        <v>8</v>
      </c>
      <c r="E29" t="s">
        <v>8</v>
      </c>
    </row>
    <row r="30" spans="1:6" x14ac:dyDescent="0.35">
      <c r="A30" t="s">
        <v>49</v>
      </c>
      <c r="B30" t="s">
        <v>42</v>
      </c>
      <c r="C30">
        <f>1/(9.06*0.95)</f>
        <v>0.11618450098756827</v>
      </c>
      <c r="D30" t="s">
        <v>16</v>
      </c>
      <c r="E30" t="s">
        <v>12</v>
      </c>
      <c r="F30" t="s">
        <v>50</v>
      </c>
    </row>
    <row r="31" spans="1:6" x14ac:dyDescent="0.35">
      <c r="A31" t="s">
        <v>41</v>
      </c>
      <c r="B31" t="s">
        <v>42</v>
      </c>
      <c r="C31">
        <f>1/0.777</f>
        <v>1.287001287001287</v>
      </c>
      <c r="D31" t="s">
        <v>24</v>
      </c>
      <c r="E31" t="s">
        <v>16</v>
      </c>
      <c r="F31" t="s">
        <v>43</v>
      </c>
    </row>
    <row r="32" spans="1:6" x14ac:dyDescent="0.35">
      <c r="A32" t="s">
        <v>41</v>
      </c>
      <c r="B32" t="s">
        <v>42</v>
      </c>
      <c r="C32">
        <f>1 / (13.1*0.777)</f>
        <v>9.8244373053533368E-2</v>
      </c>
      <c r="D32" t="s">
        <v>24</v>
      </c>
      <c r="E32" t="s">
        <v>12</v>
      </c>
      <c r="F32" t="s">
        <v>44</v>
      </c>
    </row>
    <row r="33" spans="1:6" x14ac:dyDescent="0.35">
      <c r="A33" t="s">
        <v>41</v>
      </c>
      <c r="B33" t="s">
        <v>42</v>
      </c>
      <c r="C33">
        <f>1 / (13.1)</f>
        <v>7.6335877862595422E-2</v>
      </c>
      <c r="D33" t="s">
        <v>16</v>
      </c>
      <c r="E33" t="s">
        <v>12</v>
      </c>
      <c r="F33" t="s">
        <v>45</v>
      </c>
    </row>
    <row r="34" spans="1:6" x14ac:dyDescent="0.35">
      <c r="A34" t="s">
        <v>41</v>
      </c>
      <c r="B34" t="s">
        <v>42</v>
      </c>
      <c r="C34">
        <f>0.777</f>
        <v>0.77700000000000002</v>
      </c>
      <c r="D34" t="s">
        <v>16</v>
      </c>
      <c r="E34" t="s">
        <v>24</v>
      </c>
      <c r="F34" t="s">
        <v>43</v>
      </c>
    </row>
    <row r="35" spans="1:6" x14ac:dyDescent="0.35">
      <c r="A35" t="s">
        <v>46</v>
      </c>
      <c r="B35" t="s">
        <v>42</v>
      </c>
      <c r="C35">
        <f>1/(3900*1000/3.6)</f>
        <v>9.2307692307692312E-7</v>
      </c>
      <c r="D35" t="s">
        <v>16</v>
      </c>
      <c r="E35" t="s">
        <v>12</v>
      </c>
      <c r="F35" t="s">
        <v>33</v>
      </c>
    </row>
    <row r="36" spans="1:6" x14ac:dyDescent="0.35">
      <c r="A36" t="s">
        <v>14</v>
      </c>
      <c r="B36" t="s">
        <v>47</v>
      </c>
      <c r="C36">
        <f>1 * 3.6 / 27.91</f>
        <v>0.12898602651379434</v>
      </c>
      <c r="D36" t="s">
        <v>16</v>
      </c>
      <c r="E36" t="s">
        <v>12</v>
      </c>
      <c r="F36" t="s">
        <v>17</v>
      </c>
    </row>
    <row r="37" spans="1:6" x14ac:dyDescent="0.35">
      <c r="A37" t="s">
        <v>23</v>
      </c>
      <c r="B37" t="s">
        <v>47</v>
      </c>
      <c r="C37">
        <f>1 * 3.6 / 39</f>
        <v>9.2307692307692313E-2</v>
      </c>
      <c r="D37" t="s">
        <v>24</v>
      </c>
      <c r="E37" t="s">
        <v>12</v>
      </c>
      <c r="F37" t="s">
        <v>25</v>
      </c>
    </row>
    <row r="38" spans="1:6" x14ac:dyDescent="0.35">
      <c r="A38" t="s">
        <v>48</v>
      </c>
      <c r="B38" t="s">
        <v>47</v>
      </c>
      <c r="C38">
        <f>1 * 3.6 / 39</f>
        <v>9.2307692307692313E-2</v>
      </c>
      <c r="D38" t="s">
        <v>24</v>
      </c>
      <c r="E38" t="s">
        <v>12</v>
      </c>
      <c r="F38" t="s">
        <v>25</v>
      </c>
    </row>
    <row r="39" spans="1:6" x14ac:dyDescent="0.35">
      <c r="A39" t="s">
        <v>32</v>
      </c>
      <c r="B39" t="s">
        <v>47</v>
      </c>
      <c r="C39">
        <f>1 * 3.6 / (3900*1000)</f>
        <v>9.2307692307692312E-7</v>
      </c>
      <c r="D39" t="s">
        <v>16</v>
      </c>
      <c r="E39" t="s">
        <v>12</v>
      </c>
      <c r="F3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Souttre</dc:creator>
  <cp:lastModifiedBy>Matthieu Souttre</cp:lastModifiedBy>
  <dcterms:created xsi:type="dcterms:W3CDTF">2015-06-05T18:17:20Z</dcterms:created>
  <dcterms:modified xsi:type="dcterms:W3CDTF">2026-09-14T10:32:44Z</dcterms:modified>
</cp:coreProperties>
</file>