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1340" windowWidth="25820" windowHeight="18980" tabRatio="600" firstSheet="0" activeTab="0" autoFilterDateGrouping="1"/>
  </bookViews>
  <sheets>
    <sheet xmlns:r="http://schemas.openxmlformats.org/officeDocument/2006/relationships" name="daccs storage risk" sheetId="1" state="visible" r:id="rId1"/>
  </sheets>
  <definedNames>
    <definedName name="_xlnm._FilterDatabase" localSheetId="0" hidden="1">'daccs storage risk'!$A$11:$T$28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#,##0.########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1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Inventory review</author>
  </authors>
  <commentList>
    <comment ref="B9" authorId="0" shapeId="0">
      <text>
        <t>Conference teaching inventory; solvent-based DAC, nominal capacity 1 Mt CO2/year, 20 years, 20 Mt gross atmospheric CO2 capture. All exchange amounts refer to the whole plant lifetime; divide by 20,000,000,000 for amounts per kg captured. Year zero is commissioning. Construction: offsets -3,-2,-1, equal thirds; operation and CO2 uptake: offsets 0..19, 5% per year; decommissioning: offset 20. Storage stress case: 10% of gross capture is released after closure over offsets 20..119 with normalized exponential weights (25-year decay time). This leakage magnitude and timing are illustrative assumptions, not a probability of failure or an estimate for a well-managed storage site. Timing weights describe physical shares of each exchange, not statistical uncertainty. Original quantities and suppliers retained; plant-specific evidence and complete transport/injection and backup-fuel boundaries remain unverified. See lci-case-study-daccs_storage_risk.md.</t>
      </text>
    </comment>
    <comment ref="B11" authorId="0" shapeId="0">
      <text>
        <t>Amounts refer to the entire 20 Mt reference production, not one kg. Negative waste inputs preserve the supplier's waste-reference-product convention.</t>
      </text>
    </comment>
    <comment ref="L11" authorId="0" shapeId="0">
      <text>
        <t>TRAILS distribution code 6: explicit discrete offsets and weights. The API calls this 'empirical', but these schedules are modelling assumptions, not observations.</t>
      </text>
    </comment>
    <comment ref="O11" authorId="0" shapeId="0">
      <text>
        <t>First offset, in years relative to commissioning. Matches the explicit pulse support.</t>
      </text>
    </comment>
    <comment ref="P11" authorId="0" shapeId="0">
      <text>
        <t>Last offset, inclusive. Twenty operating years are 0..19.</t>
      </text>
    </comment>
    <comment ref="Q11" authorId="0" shapeId="0">
      <text>
        <t>JSON list of integer year offsets. Negative offsets precede commissioning.</t>
      </text>
    </comment>
    <comment ref="R11" authorId="0" shapeId="0">
      <text>
        <t>JSON list of physical shares, summing to one. Same order as offsets. These shares are not probabilities of occurrence.</t>
      </text>
    </comment>
    <comment ref="S11" authorId="0" shapeId="0">
      <text>
        <t>port: preserve and distribute the lifetime exchange amount. Upstream suppliers still use their pulse-year background. Blank year columns do not encode efficiency improvements.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T31"/>
  <ns0:sheetViews>
    <ns0:sheetView tabSelected="1" zoomScale="75" workbookViewId="0">
      <ns0:pane xSplit="2" ySplit="11" topLeftCell="C12" activePane="bottomRight" state="frozen"/>
      <ns0:selection pane="topRight"/>
      <ns0:selection pane="bottomLeft"/>
      <ns0:selection pane="bottomRight" activeCell="B12" sqref="B12"/>
    </ns0:sheetView>
  </ns0:sheetViews>
  <ns0:sheetFormatPr baseColWidth="10" defaultColWidth="8.83203125" defaultRowHeight="15"/>
  <ns0:cols>
    <ns0:col width="57" customWidth="1" min="1" max="1"/>
    <ns0:col width="17" bestFit="1" customWidth="1" min="2" max="2"/>
    <ns0:col width="17" customWidth="1" min="3" max="3"/>
    <ns0:col width="17" customWidth="1" min="4" max="4"/>
    <ns0:col width="17" customWidth="1" min="5" max="5"/>
    <ns0:col width="17" customWidth="1" min="6" max="6"/>
    <ns0:col width="24" customWidth="1" min="7" max="7"/>
    <ns0:col width="28" customWidth="1" min="8" max="8"/>
    <ns0:col width="17" customWidth="1" min="9" max="9"/>
    <ns0:col width="17" customWidth="1" min="10" max="10"/>
    <ns0:col width="36" bestFit="1" customWidth="1" min="11" max="11"/>
    <ns0:col width="17" bestFit="1" customWidth="1" min="12" max="12"/>
    <ns0:col width="17" bestFit="1" customWidth="1" min="13" max="13"/>
    <ns0:col width="17" bestFit="1" customWidth="1" min="14" max="14"/>
    <ns0:col width="17" bestFit="1" customWidth="1" min="15" max="15"/>
    <ns0:col width="17" bestFit="1" customWidth="1" min="16" max="16"/>
    <ns0:col width="32" customWidth="1" min="17" max="17"/>
    <ns0:col width="32" customWidth="1" min="18" max="18"/>
    <ns0:col width="17" customWidth="1" min="19" max="19"/>
    <ns0:col width="95" customWidth="1" min="20" max="20"/>
  </ns0:cols>
  <ns0:sheetData>
    <ns0:row r="1">
      <ns0:c r="A1" t="inlineStr">
        <ns0:is>
          <ns0:t>Database</ns0:t>
        </ns0:is>
      </ns0:c>
      <ns0:c r="B1" t="inlineStr">
        <ns0:is>
          <ns0:t>lci-trails</ns0:t>
        </ns0:is>
      </ns0:c>
    </ns0:row>
    <ns0:row r="3">
      <ns0:c r="A3" t="inlineStr">
        <ns0:is>
          <ns0:t>Activity</ns0:t>
        </ns0:is>
      </ns0:c>
      <ns0:c r="B3" t="inlineStr">
        <ns0:is>
          <ns0:t>carbon dioxide, captured, with a solvent-based direct air capture system, 1MtCO2</ns0:t>
        </ns0:is>
      </ns0:c>
    </ns0:row>
    <ns0:row r="4">
      <ns0:c r="A4" t="inlineStr">
        <ns0:is>
          <ns0:t>reference product</ns0:t>
        </ns0:is>
      </ns0:c>
      <ns0:c r="B4" t="inlineStr">
        <ns0:is>
          <ns0:t>carbon dioxide, captured</ns0:t>
        </ns0:is>
      </ns0:c>
    </ns0:row>
    <ns0:row r="5">
      <ns0:c r="A5" t="inlineStr">
        <ns0:is>
          <ns0:t>location</ns0:t>
        </ns0:is>
      </ns0:c>
      <ns0:c r="B5" t="inlineStr">
        <ns0:is>
          <ns0:t>Europe</ns0:t>
        </ns0:is>
      </ns0:c>
    </ns0:row>
    <ns0:row r="6">
      <ns0:c r="A6" t="inlineStr">
        <ns0:is>
          <ns0:t>unit</ns0:t>
        </ns0:is>
      </ns0:c>
      <ns0:c r="B6" t="inlineStr">
        <ns0:is>
          <ns0:t>kilogram</ns0:t>
        </ns0:is>
      </ns0:c>
    </ns0:row>
    <ns0:row r="7">
      <ns0:c r="A7" t="inlineStr">
        <ns0:is>
          <ns0:t>lifetime [year]</ns0:t>
        </ns0:is>
      </ns0:c>
      <ns0:c r="B7" t="n">
        <ns0:v>20</ns0:v>
      </ns0:c>
    </ns0:row>
    <ns0:row r="8">
      <ns0:c r="A8" t="inlineStr">
        <ns0:is>
          <ns0:t>CO2 capture amount [kg]</ns0:t>
        </ns0:is>
      </ns0:c>
      <ns0:c r="B8" t="n">
        <ns0:v>20000000000</ns0:v>
      </ns0:c>
    </ns0:row>
    <ns0:row r="9">
      <ns0:c r="A9" t="inlineStr">
        <ns0:is>
          <ns0:t>comment</ns0:t>
        </ns0:is>
      </ns0:c>
      <ns0:c r="B9" t="inlineStr">
        <ns0:is>
          <ns0:t>Conference teaching inventory; solvent-based DAC, nominal capacity 1 Mt CO2/year, 20 years, 20 Mt gross atmospheric CO2 capture. All exchange amounts refer to the whole plant lifetime; divide by 20,000,000,000 for amounts per kg captured. Year zero is commissioning. Construction: offsets -3,-2,-1, equal thirds; operation and CO2 uptake: offsets 0..19, 5% per year; decommissioning: offset 20. Storage stress case: 10% of gross capture is released after closure over offsets 20..119 with normalized exponential weights (25-year decay time). This leakage magnitude and timing are illustrative assumptions, not a probability of failure or an estimate for a well-managed storage site. Timing weights describe physical shares of each exchange, not statistical uncertainty. Original quantities and suppliers retained; plant-specific evidence and complete transport/injection and backup-fuel boundaries remain unverified. See lci-case-study-daccs_storage_risk.md.</ns0:t>
        </ns0:is>
      </ns0:c>
    </ns0:row>
    <ns0:row r="10">
      <ns0:c r="A10" t="inlineStr">
        <ns0:is>
          <ns0:t>Exchanges</ns0:t>
        </ns0:is>
      </ns0:c>
    </ns0:row>
    <ns0:row r="11" ht="42" customHeight="1">
      <ns0:c r="A11" s="3" t="inlineStr">
        <ns0:is>
          <ns0:t>name</ns0:t>
        </ns0:is>
      </ns0:c>
      <ns0:c r="B11" s="3" t="inlineStr">
        <ns0:is>
          <ns0:t>amount</ns0:t>
        </ns0:is>
      </ns0:c>
      <ns0:c r="C11" s="3" t="n">
        <ns0:v>2020</ns0:v>
      </ns0:c>
      <ns0:c r="D11" s="3" t="n">
        <ns0:v>2040</ns0:v>
      </ns0:c>
      <ns0:c r="E11" s="3" t="n">
        <ns0:v>2060</ns0:v>
      </ns0:c>
      <ns0:c r="F11" s="3" t="n">
        <ns0:v>2080</ns0:v>
      </ns0:c>
      <ns0:c r="G11" s="3" t="inlineStr">
        <ns0:is>
          <ns0:t>location</ns0:t>
        </ns0:is>
      </ns0:c>
      <ns0:c r="H11" s="3" t="inlineStr">
        <ns0:is>
          <ns0:t>categories</ns0:t>
        </ns0:is>
      </ns0:c>
      <ns0:c r="I11" s="3" t="inlineStr">
        <ns0:is>
          <ns0:t>unit</ns0:t>
        </ns0:is>
      </ns0:c>
      <ns0:c r="J11" s="3" t="inlineStr">
        <ns0:is>
          <ns0:t>type</ns0:t>
        </ns0:is>
      </ns0:c>
      <ns0:c r="K11" s="3" t="inlineStr">
        <ns0:is>
          <ns0:t>reference product</ns0:t>
        </ns0:is>
      </ns0:c>
      <ns0:c r="L11" s="3" t="inlineStr">
        <ns0:is>
          <ns0:t>temporal_distribution</ns0:t>
        </ns0:is>
      </ns0:c>
      <ns0:c r="M11" s="3" t="inlineStr">
        <ns0:is>
          <ns0:t>temporal_loc</ns0:t>
        </ns0:is>
      </ns0:c>
      <ns0:c r="N11" s="3" t="inlineStr">
        <ns0:is>
          <ns0:t>temporal_scale</ns0:t>
        </ns0:is>
      </ns0:c>
      <ns0:c r="O11" s="3" t="inlineStr">
        <ns0:is>
          <ns0:t>temporal_min</ns0:t>
        </ns0:is>
      </ns0:c>
      <ns0:c r="P11" s="3" t="inlineStr">
        <ns0:is>
          <ns0:t>temporal_max</ns0:t>
        </ns0:is>
      </ns0:c>
      <ns0:c r="Q11" s="3" t="inlineStr">
        <ns0:is>
          <ns0:t>temporal_offsets</ns0:t>
        </ns0:is>
      </ns0:c>
      <ns0:c r="R11" s="3" t="inlineStr">
        <ns0:is>
          <ns0:t>temporal_weights</ns0:t>
        </ns0:is>
      </ns0:c>
      <ns0:c r="S11" s="3" t="inlineStr">
        <ns0:is>
          <ns0:t>temporal_amount_source</ns0:t>
        </ns0:is>
      </ns0:c>
      <ns0:c r="T11" s="3" t="inlineStr">
        <ns0:is>
          <ns0:t>comment</ns0:t>
        </ns0:is>
      </ns0:c>
    </ns0:row>
    <ns0:row r="12" ht="82" customHeight="1">
      <ns0:c r="A12" s="4" t="inlineStr">
        <ns0:is>
          <ns0:t>carbon dioxide, captured, with a solvent-based direct air capture system, 1MtCO2</ns0:t>
        </ns0:is>
      </ns0:c>
      <ns0:c r="B12" s="5">
        <ns0:f>B8</ns0:f>
        <ns0:v>20000000000</ns0:v>
      </ns0:c>
      <ns0:c r="C12" s="4" t="n"/>
      <ns0:c r="D12" s="4" t="n"/>
      <ns0:c r="E12" s="4" t="n"/>
      <ns0:c r="F12" s="4" t="n"/>
      <ns0:c r="G12" s="4" t="inlineStr">
        <ns0:is>
          <ns0:t>Europe</ns0:t>
        </ns0:is>
      </ns0:c>
      <ns0:c r="H12" s="4" t="n"/>
      <ns0:c r="I12" s="4" t="inlineStr">
        <ns0:is>
          <ns0:t>kilogram</ns0:t>
        </ns0:is>
      </ns0:c>
      <ns0:c r="J12" s="4" t="inlineStr">
        <ns0:is>
          <ns0:t>production</ns0:t>
        </ns0:is>
      </ns0:c>
      <ns0:c r="K12" s="4" t="inlineStr">
        <ns0:is>
          <ns0:t>carbon dioxide, captured</ns0:t>
        </ns0:is>
      </ns0:c>
      <ns0:c r="L12" s="4" t="n"/>
      <ns0:c r="M12" s="4" t="n"/>
      <ns0:c r="N12" s="4" t="n"/>
      <ns0:c r="O12" s="4" t="n"/>
      <ns0:c r="P12" s="4" t="n"/>
      <ns0:c r="Q12" s="4" t="n"/>
      <ns0:c r="R12" s="4" t="n"/>
      <ns0:c r="S12" s="4" t="n"/>
      <ns0:c r="T12" s="4" t="inlineStr">
        <ns0:is>
          <ns0:t>Whole-lifetime reference: 20 Mt gross captured CO2 = 1 Mt/year x 20 years. Formula =B8; its numeric cache is refreshed by the revision script. This is not net removal or permanent storage.</ns0:t>
        </ns0:is>
      </ns0:c>
    </ns0:row>
    <ns0:row r="13" ht="82" customHeight="1">
      <ns0:c r="A13" s="4" t="inlineStr">
        <ns0:is>
          <ns0:t>direct air capture system, solvent-based, 1MtCO2</ns0:t>
        </ns0:is>
      </ns0:c>
      <ns0:c r="B13" s="5" t="n">
        <ns0:v>1</ns0:v>
      </ns0:c>
      <ns0:c r="C13" s="4" t="n"/>
      <ns0:c r="D13" s="4" t="n"/>
      <ns0:c r="E13" s="4" t="n"/>
      <ns0:c r="F13" s="4" t="n"/>
      <ns0:c r="G13" s="4" t="inlineStr">
        <ns0:is>
          <ns0:t>RER</ns0:t>
        </ns0:is>
      </ns0:c>
      <ns0:c r="H13" s="4" t="n"/>
      <ns0:c r="I13" s="4" t="inlineStr">
        <ns0:is>
          <ns0:t>unit</ns0:t>
        </ns0:is>
      </ns0:c>
      <ns0:c r="J13" s="4" t="inlineStr">
        <ns0:is>
          <ns0:t>technosphere</ns0:t>
        </ns0:is>
      </ns0:c>
      <ns0:c r="K13" s="4" t="inlineStr">
        <ns0:is>
          <ns0:t>direct air capture system</ns0:t>
        </ns0:is>
      </ns0:c>
      <ns0:c r="L13" s="4" t="n">
        <ns0:v>6</ns0:v>
      </ns0:c>
      <ns0:c r="M13" s="4" t="n"/>
      <ns0:c r="N13" s="4" t="n"/>
      <ns0:c r="O13" s="4" t="n">
        <ns0:v>-3</ns0:v>
      </ns0:c>
      <ns0:c r="P13" s="4" t="n">
        <ns0:v>-1</ns0:v>
      </ns0:c>
      <ns0:c r="Q13" s="4" t="inlineStr">
        <ns0:is>
          <ns0:t>[-3, -2, -1]</ns0:t>
        </ns0:is>
      </ns0:c>
      <ns0:c r="R13" s="4" t="inlineStr">
        <ns0:is>
          <ns0:t>[0.3333333333333333, 0.3333333333333333, 0.3333333333333333]</ns0:t>
        </ns0:is>
      </ns0:c>
      <ns0:c r="S13" s="4" t="inlineStr">
        <ns0:is>
          <ns0:t>port</ns0:t>
        </ns0:is>
      </ns0:c>
      <ns0:c r="T13" s="4" t="inlineStr">
        <ns0:is>
          <ns0:t>One plant over the reference lifetime (5e-11 units/kg captured). Equal construction shares in the three years before commissioning; scheduling assumption, not a measured construction curve. Supplier timing may add upstream delays.</ns0:t>
        </ns0:is>
      </ns0:c>
    </ns0:row>
    <ns0:row r="14" ht="82" customHeight="1">
      <ns0:c r="A14" s="4" t="inlineStr">
        <ns0:is>
          <ns0:t>treatment of direct air capture system, solvent-based, 1MtCO2</ns0:t>
        </ns0:is>
      </ns0:c>
      <ns0:c r="B14" s="5" t="n">
        <ns0:v>-1</ns0:v>
      </ns0:c>
      <ns0:c r="C14" s="4" t="n"/>
      <ns0:c r="D14" s="4" t="n"/>
      <ns0:c r="E14" s="4" t="n"/>
      <ns0:c r="F14" s="4" t="n"/>
      <ns0:c r="G14" s="4" t="inlineStr">
        <ns0:is>
          <ns0:t>RER</ns0:t>
        </ns0:is>
      </ns0:c>
      <ns0:c r="H14" s="4" t="n"/>
      <ns0:c r="I14" s="4" t="inlineStr">
        <ns0:is>
          <ns0:t>unit</ns0:t>
        </ns0:is>
      </ns0:c>
      <ns0:c r="J14" s="4" t="inlineStr">
        <ns0:is>
          <ns0:t>technosphere</ns0:t>
        </ns0:is>
      </ns0:c>
      <ns0:c r="K14" s="4" t="inlineStr">
        <ns0:is>
          <ns0:t>direct air capture system</ns0:t>
        </ns0:is>
      </ns0:c>
      <ns0:c r="L14" s="4" t="n">
        <ns0:v>6</ns0:v>
      </ns0:c>
      <ns0:c r="M14" s="4" t="n"/>
      <ns0:c r="N14" s="4" t="n"/>
      <ns0:c r="O14" s="4" t="n">
        <ns0:v>20</ns0:v>
      </ns0:c>
      <ns0:c r="P14" s="4" t="n">
        <ns0:v>20</ns0:v>
      </ns0:c>
      <ns0:c r="Q14" s="4" t="inlineStr">
        <ns0:is>
          <ns0:t>[20]</ns0:t>
        </ns0:is>
      </ns0:c>
      <ns0:c r="R14" s="4" t="inlineStr">
        <ns0:is>
          <ns0:t>[1.0]</ns0:t>
        </ns0:is>
      </ns0:c>
      <ns0:c r="S14" s="4" t="inlineStr">
        <ns0:is>
          <ns0:t>port</ns0:t>
        </ns0:is>
      </ns0:c>
      <ns0:c r="T14" s="4" t="inlineStr">
        <ns0:is>
          <ns0:t>One plant treated in the first year after 20 complete operating years (offset 20). Negative input is retained for the waste-treatment reference-product convention; it is not an assumed recycling credit. Background treatment handles its own downstream timing.</ns0:t>
        </ns0:is>
      </ns0:c>
    </ns0:row>
    <ns0:row r="15" ht="82" customHeight="1">
      <ns0:c r="A15" s="4" t="inlineStr">
        <ns0:is>
          <ns0:t>market for tap water</ns0:t>
        </ns0:is>
      </ns0:c>
      <ns0:c r="B15" s="5" t="n">
        <ns0:v>68740000000</ns0:v>
      </ns0:c>
      <ns0:c r="C15" s="4" t="n"/>
      <ns0:c r="D15" s="4" t="n"/>
      <ns0:c r="E15" s="4" t="n"/>
      <ns0:c r="F15" s="4" t="n"/>
      <ns0:c r="G15" s="4" t="inlineStr">
        <ns0:is>
          <ns0:t>Europe without Switzerland</ns0:t>
        </ns0:is>
      </ns0:c>
      <ns0:c r="H15" s="4" t="n"/>
      <ns0:c r="I15" s="4" t="inlineStr">
        <ns0:is>
          <ns0:t>kilogram</ns0:t>
        </ns0:is>
      </ns0:c>
      <ns0:c r="J15" s="4" t="inlineStr">
        <ns0:is>
          <ns0:t>technosphere</ns0:t>
        </ns0:is>
      </ns0:c>
      <ns0:c r="K15" s="4" t="inlineStr">
        <ns0:is>
          <ns0:t>tap water</ns0:t>
        </ns0:is>
      </ns0:c>
      <ns0:c r="L15" s="4" t="n">
        <ns0:v>6</ns0:v>
      </ns0:c>
      <ns0:c r="M15" s="4" t="n"/>
      <ns0:c r="N15" s="4" t="n"/>
      <ns0:c r="O15" s="4" t="n">
        <ns0:v>0</ns0:v>
      </ns0:c>
      <ns0:c r="P15" s="4" t="n">
        <ns0:v>19</ns0:v>
      </ns0:c>
      <ns0:c r="Q15" s="4" t="inlineStr">
        <ns0:is>
          <ns0:t>[0, 1, 2, 3, 4, 5, 6, 7, 8, 9, 10, 11, 12, 13, 14, 15, 16, 17, 18, 19]</ns0:t>
        </ns0:is>
      </ns0:c>
      <ns0:c r="R15" s="4" t="inlineStr">
        <ns0:is>
          <ns0:t>[0.05, 0.05, 0.05, 0.05, 0.05, 0.05, 0.05, 0.05, 0.05, 0.05, 0.05, 0.05, 0.05, 0.05, 0.05, 0.05, 0.05, 0.05, 0.05, 0.05]</ns0:t>
        </ns0:is>
      </ns0:c>
      <ns0:c r="S15" s="4" t="inlineStr">
        <ns0:is>
          <ns0:t>port</ns0:t>
        </ns0:is>
      </ns0:c>
      <ns0:c r="T15" s="4" t="inlineStr">
        <ns0:is>
          <ns0:t>Water input: 3.437 kg/kg gross CO2 captured. Constant annual operation, 5% of the lifetime input in each of 20 years. This is purchased tap water, not a measured consumptive-water balance; AWARE includes the supplier inventory.</ns0:t>
        </ns0:is>
      </ns0:c>
    </ns0:row>
    <ns0:row r="16" ht="82" customHeight="1">
      <ns0:c r="A16" s="4" t="inlineStr">
        <ns0:is>
          <ns0:t>market for potassium hydroxide</ns0:t>
        </ns0:is>
      </ns0:c>
      <ns0:c r="B16" s="5" t="n">
        <ns0:v>80000000</ns0:v>
      </ns0:c>
      <ns0:c r="C16" s="4" t="n"/>
      <ns0:c r="D16" s="4" t="n"/>
      <ns0:c r="E16" s="4" t="n"/>
      <ns0:c r="F16" s="4" t="n"/>
      <ns0:c r="G16" s="4" t="inlineStr">
        <ns0:is>
          <ns0:t>GLO</ns0:t>
        </ns0:is>
      </ns0:c>
      <ns0:c r="H16" s="4" t="n"/>
      <ns0:c r="I16" s="4" t="inlineStr">
        <ns0:is>
          <ns0:t>kilogram</ns0:t>
        </ns0:is>
      </ns0:c>
      <ns0:c r="J16" s="4" t="inlineStr">
        <ns0:is>
          <ns0:t>technosphere</ns0:t>
        </ns0:is>
      </ns0:c>
      <ns0:c r="K16" s="4" t="inlineStr">
        <ns0:is>
          <ns0:t>potassium hydroxide</ns0:t>
        </ns0:is>
      </ns0:c>
      <ns0:c r="L16" s="4" t="n">
        <ns0:v>6</ns0:v>
      </ns0:c>
      <ns0:c r="M16" s="4" t="n"/>
      <ns0:c r="N16" s="4" t="n"/>
      <ns0:c r="O16" s="4" t="n">
        <ns0:v>0</ns0:v>
      </ns0:c>
      <ns0:c r="P16" s="4" t="n">
        <ns0:v>19</ns0:v>
      </ns0:c>
      <ns0:c r="Q16" s="4" t="inlineStr">
        <ns0:is>
          <ns0:t>[0, 1, 2, 3, 4, 5, 6, 7, 8, 9, 10, 11, 12, 13, 14, 15, 16, 17, 18, 19]</ns0:t>
        </ns0:is>
      </ns0:c>
      <ns0:c r="R16" s="4" t="inlineStr">
        <ns0:is>
          <ns0:t>[0.05, 0.05, 0.05, 0.05, 0.05, 0.05, 0.05, 0.05, 0.05, 0.05, 0.05, 0.05, 0.05, 0.05, 0.05, 0.05, 0.05, 0.05, 0.05, 0.05]</ns0:t>
        </ns0:is>
      </ns0:c>
      <ns0:c r="S16" s="4" t="inlineStr">
        <ns0:is>
          <ns0:t>port</ns0:t>
        </ns0:is>
      </ns0:c>
      <ns0:c r="T16" s="4" t="inlineStr">
        <ns0:is>
          <ns0:t>Liquid absorbent make-up: 0.004 kg potassium hydroxide/kg gross CO2 captured. Uniform annual consumption. No unsupported ramp-up, ageing, or batch-replacement schedule is imposed.</ns0:t>
        </ns0:is>
      </ns0:c>
    </ns0:row>
    <ns0:row r="17" ht="82" customHeight="1">
      <ns0:c r="A17" s="4" t="inlineStr">
        <ns0:is>
          <ns0:t>market for limestone, crushed, for mill</ns0:t>
        </ns0:is>
      </ns0:c>
      <ns0:c r="B17" s="5" t="n">
        <ns0:v>70000000</ns0:v>
      </ns0:c>
      <ns0:c r="C17" s="4" t="n"/>
      <ns0:c r="D17" s="4" t="n"/>
      <ns0:c r="E17" s="4" t="n"/>
      <ns0:c r="F17" s="4" t="n"/>
      <ns0:c r="G17" s="4" t="inlineStr">
        <ns0:is>
          <ns0:t>CH</ns0:t>
        </ns0:is>
      </ns0:c>
      <ns0:c r="H17" s="4" t="n"/>
      <ns0:c r="I17" s="4" t="inlineStr">
        <ns0:is>
          <ns0:t>kilogram</ns0:t>
        </ns0:is>
      </ns0:c>
      <ns0:c r="J17" s="4" t="inlineStr">
        <ns0:is>
          <ns0:t>technosphere</ns0:t>
        </ns0:is>
      </ns0:c>
      <ns0:c r="K17" s="4" t="inlineStr">
        <ns0:is>
          <ns0:t>limestone, crushed, for mill</ns0:t>
        </ns0:is>
      </ns0:c>
      <ns0:c r="L17" s="4" t="n">
        <ns0:v>6</ns0:v>
      </ns0:c>
      <ns0:c r="M17" s="4" t="n"/>
      <ns0:c r="N17" s="4" t="n"/>
      <ns0:c r="O17" s="4" t="n">
        <ns0:v>0</ns0:v>
      </ns0:c>
      <ns0:c r="P17" s="4" t="n">
        <ns0:v>19</ns0:v>
      </ns0:c>
      <ns0:c r="Q17" s="4" t="inlineStr">
        <ns0:is>
          <ns0:t>[0, 1, 2, 3, 4, 5, 6, 7, 8, 9, 10, 11, 12, 13, 14, 15, 16, 17, 18, 19]</ns0:t>
        </ns0:is>
      </ns0:c>
      <ns0:c r="R17" s="4" t="inlineStr">
        <ns0:is>
          <ns0:t>[0.05, 0.05, 0.05, 0.05, 0.05, 0.05, 0.05, 0.05, 0.05, 0.05, 0.05, 0.05, 0.05, 0.05, 0.05, 0.05, 0.05, 0.05, 0.05, 0.05]</ns0:t>
        </ns0:is>
      </ns0:c>
      <ns0:c r="S17" s="4" t="inlineStr">
        <ns0:is>
          <ns0:t>port</ns0:t>
        </ns0:is>
      </ns0:c>
      <ns0:c r="T17" s="4" t="inlineStr">
        <ns0:is>
          <ns0:t>Limestone make-up: 0.0035 kg/kg gross CO2 captured. Uniform annual consumption; unchanged original material balance.</ns0:t>
        </ns0:is>
      </ns0:c>
    </ns0:row>
    <ns0:row r="18" ht="82" customHeight="1">
      <ns0:c r="A18" s="4" t="inlineStr">
        <ns0:is>
          <ns0:t>treatment of spent solvent mixture, hazardous waste incineration</ns0:t>
        </ns0:is>
      </ns0:c>
      <ns0:c r="B18" s="5" t="n">
        <ns0:v>-80000000</ns0:v>
      </ns0:c>
      <ns0:c r="C18" s="4" t="n"/>
      <ns0:c r="D18" s="4" t="n"/>
      <ns0:c r="E18" s="4" t="n"/>
      <ns0:c r="F18" s="4" t="n"/>
      <ns0:c r="G18" s="4" t="inlineStr">
        <ns0:is>
          <ns0:t>Europe without Switzerland</ns0:t>
        </ns0:is>
      </ns0:c>
      <ns0:c r="H18" s="4" t="n"/>
      <ns0:c r="I18" s="4" t="inlineStr">
        <ns0:is>
          <ns0:t>kilogram</ns0:t>
        </ns0:is>
      </ns0:c>
      <ns0:c r="J18" s="4" t="inlineStr">
        <ns0:is>
          <ns0:t>technosphere</ns0:t>
        </ns0:is>
      </ns0:c>
      <ns0:c r="K18" s="4" t="inlineStr">
        <ns0:is>
          <ns0:t>spent solvent mixture</ns0:t>
        </ns0:is>
      </ns0:c>
      <ns0:c r="L18" s="4" t="n">
        <ns0:v>6</ns0:v>
      </ns0:c>
      <ns0:c r="M18" s="4" t="n"/>
      <ns0:c r="N18" s="4" t="n"/>
      <ns0:c r="O18" s="4" t="n">
        <ns0:v>0</ns0:v>
      </ns0:c>
      <ns0:c r="P18" s="4" t="n">
        <ns0:v>19</ns0:v>
      </ns0:c>
      <ns0:c r="Q18" s="4" t="inlineStr">
        <ns0:is>
          <ns0:t>[0, 1, 2, 3, 4, 5, 6, 7, 8, 9, 10, 11, 12, 13, 14, 15, 16, 17, 18, 19]</ns0:t>
        </ns0:is>
      </ns0:c>
      <ns0:c r="R18" s="4" t="inlineStr">
        <ns0:is>
          <ns0:t>[0.05, 0.05, 0.05, 0.05, 0.05, 0.05, 0.05, 0.05, 0.05, 0.05, 0.05, 0.05, 0.05, 0.05, 0.05, 0.05, 0.05, 0.05, 0.05, 0.05]</ns0:t>
        </ns0:is>
      </ns0:c>
      <ns0:c r="S18" s="4" t="inlineStr">
        <ns0:is>
          <ns0:t>port</ns0:t>
        </ns0:is>
      </ns0:c>
      <ns0:c r="T18" s="4" t="inlineStr">
        <ns0:is>
          <ns0:t>Spent-solvent treatment: -0.004 kg/kg gross CO2 captured, using the inherited waste-product sign convention. Waste is treated in the year of operation; no unsupported final-cleanout share. The generic spent-solvent treatment is an unverified proxy for this alkaline process.</ns0:t>
        </ns0:is>
      </ns0:c>
    </ns0:row>
    <ns0:row r="19" ht="82" customHeight="1">
      <ns0:c r="A19" s="4" t="inlineStr">
        <ns0:is>
          <ns0:t>treatment of limestone residue, inert material landfill</ns0:t>
        </ns0:is>
      </ns0:c>
      <ns0:c r="B19" s="5" t="n">
        <ns0:v>-70000000</ns0:v>
      </ns0:c>
      <ns0:c r="C19" s="4" t="n"/>
      <ns0:c r="D19" s="4" t="n"/>
      <ns0:c r="E19" s="4" t="n"/>
      <ns0:c r="F19" s="4" t="n"/>
      <ns0:c r="G19" s="4" t="inlineStr">
        <ns0:is>
          <ns0:t>CH</ns0:t>
        </ns0:is>
      </ns0:c>
      <ns0:c r="H19" s="4" t="n"/>
      <ns0:c r="I19" s="4" t="inlineStr">
        <ns0:is>
          <ns0:t>kilogram</ns0:t>
        </ns0:is>
      </ns0:c>
      <ns0:c r="J19" s="4" t="inlineStr">
        <ns0:is>
          <ns0:t>technosphere</ns0:t>
        </ns0:is>
      </ns0:c>
      <ns0:c r="K19" s="4" t="inlineStr">
        <ns0:is>
          <ns0:t>limestone residue</ns0:t>
        </ns0:is>
      </ns0:c>
      <ns0:c r="L19" s="4" t="n">
        <ns0:v>6</ns0:v>
      </ns0:c>
      <ns0:c r="M19" s="4" t="n"/>
      <ns0:c r="N19" s="4" t="n"/>
      <ns0:c r="O19" s="4" t="n">
        <ns0:v>0</ns0:v>
      </ns0:c>
      <ns0:c r="P19" s="4" t="n">
        <ns0:v>19</ns0:v>
      </ns0:c>
      <ns0:c r="Q19" s="4" t="inlineStr">
        <ns0:is>
          <ns0:t>[0, 1, 2, 3, 4, 5, 6, 7, 8, 9, 10, 11, 12, 13, 14, 15, 16, 17, 18, 19]</ns0:t>
        </ns0:is>
      </ns0:c>
      <ns0:c r="R19" s="4" t="inlineStr">
        <ns0:is>
          <ns0:t>[0.05, 0.05, 0.05, 0.05, 0.05, 0.05, 0.05, 0.05, 0.05, 0.05, 0.05, 0.05, 0.05, 0.05, 0.05, 0.05, 0.05, 0.05, 0.05, 0.05]</ns0:t>
        </ns0:is>
      </ns0:c>
      <ns0:c r="S19" s="4" t="inlineStr">
        <ns0:is>
          <ns0:t>port</ns0:t>
        </ns0:is>
      </ns0:c>
      <ns0:c r="T19" s="4" t="inlineStr">
        <ns0:is>
          <ns0:t>Limestone-residue treatment: -0.0035 kg/kg gross CO2 captured. Residue withdrawal and treatment are assigned to each operating year, consistently with make-up; no evidence supports accumulating all residues until closure. Quantity and treatment proxy need process-specific confirmation.</ns0:t>
        </ns0:is>
      </ns0:c>
    </ns0:row>
    <ns0:row r="20" ht="82" customHeight="1">
      <ns0:c r="A20" s="4" t="inlineStr">
        <ns0:is>
          <ns0:t>market group for electricity, medium voltage</ns0:t>
        </ns0:is>
      </ns0:c>
      <ns0:c r="B20" s="5" t="n">
        <ns0:v>6899999999.999999</ns0:v>
      </ns0:c>
      <ns0:c r="C20" s="4" t="n"/>
      <ns0:c r="D20" s="4" t="n"/>
      <ns0:c r="E20" s="4" t="n"/>
      <ns0:c r="F20" s="4" t="n"/>
      <ns0:c r="G20" s="4" t="inlineStr">
        <ns0:is>
          <ns0:t>RER</ns0:t>
        </ns0:is>
      </ns0:c>
      <ns0:c r="H20" s="4" t="n"/>
      <ns0:c r="I20" s="4" t="inlineStr">
        <ns0:is>
          <ns0:t>kilowatt hour</ns0:t>
        </ns0:is>
      </ns0:c>
      <ns0:c r="J20" s="4" t="inlineStr">
        <ns0:is>
          <ns0:t>technosphere</ns0:t>
        </ns0:is>
      </ns0:c>
      <ns0:c r="K20" s="4" t="inlineStr">
        <ns0:is>
          <ns0:t>electricity, medium voltage</ns0:t>
        </ns0:is>
      </ns0:c>
      <ns0:c r="L20" s="4" t="n">
        <ns0:v>6</ns0:v>
      </ns0:c>
      <ns0:c r="M20" s="4" t="n"/>
      <ns0:c r="N20" s="4" t="n"/>
      <ns0:c r="O20" s="4" t="n">
        <ns0:v>0</ns0:v>
      </ns0:c>
      <ns0:c r="P20" s="4" t="n">
        <ns0:v>19</ns0:v>
      </ns0:c>
      <ns0:c r="Q20" s="4" t="inlineStr">
        <ns0:is>
          <ns0:t>[0, 1, 2, 3, 4, 5, 6, 7, 8, 9, 10, 11, 12, 13, 14, 15, 16, 17, 18, 19]</ns0:t>
        </ns0:is>
      </ns0:c>
      <ns0:c r="R20" s="4" t="inlineStr">
        <ns0:is>
          <ns0:t>[0.05, 0.05, 0.05, 0.05, 0.05, 0.05, 0.05, 0.05, 0.05, 0.05, 0.05, 0.05, 0.05, 0.05, 0.05, 0.05, 0.05, 0.05, 0.05, 0.05]</ns0:t>
        </ns0:is>
      </ns0:c>
      <ns0:c r="S20" s="4" t="inlineStr">
        <ns0:is>
          <ns0:t>port</ns0:t>
        </ns0:is>
      </ns0:c>
      <ns0:c r="T20" s="4" t="inlineStr">
        <ns0:is>
          <ns0:t>Capture electricity: 0.345 kWh/kg gross CO2 captured. Constant physical intensity, uniformly allocated across operation. The background electricity mix follows each supply year. Additional low-voltage auxiliaries are listed separately and their boundary needs confirmation.</ns0:t>
        </ns0:is>
      </ns0:c>
    </ns0:row>
    <ns0:row r="21" ht="82" customHeight="1">
      <ns0:c r="A21" s="4" t="inlineStr">
        <ns0:is>
          <ns0:t>market for heat, district or industrial, natural gas</ns0:t>
        </ns0:is>
      </ns0:c>
      <ns0:c r="B21" s="5" t="n">
        <ns0:v>125600000000</ns0:v>
      </ns0:c>
      <ns0:c r="C21" s="4" t="n"/>
      <ns0:c r="D21" s="4" t="n"/>
      <ns0:c r="E21" s="4" t="n"/>
      <ns0:c r="F21" s="4" t="n"/>
      <ns0:c r="G21" s="4" t="inlineStr">
        <ns0:is>
          <ns0:t>Europe without Switzerland</ns0:t>
        </ns0:is>
      </ns0:c>
      <ns0:c r="H21" s="4" t="n"/>
      <ns0:c r="I21" s="4" t="inlineStr">
        <ns0:is>
          <ns0:t>megajoule</ns0:t>
        </ns0:is>
      </ns0:c>
      <ns0:c r="J21" s="4" t="inlineStr">
        <ns0:is>
          <ns0:t>technosphere</ns0:t>
        </ns0:is>
      </ns0:c>
      <ns0:c r="K21" s="4" t="inlineStr">
        <ns0:is>
          <ns0:t>heat, district or industrial, natural gas</ns0:t>
        </ns0:is>
      </ns0:c>
      <ns0:c r="L21" s="4" t="n">
        <ns0:v>6</ns0:v>
      </ns0:c>
      <ns0:c r="M21" s="4" t="n"/>
      <ns0:c r="N21" s="4" t="n"/>
      <ns0:c r="O21" s="4" t="n">
        <ns0:v>0</ns0:v>
      </ns0:c>
      <ns0:c r="P21" s="4" t="n">
        <ns0:v>19</ns0:v>
      </ns0:c>
      <ns0:c r="Q21" s="4" t="inlineStr">
        <ns0:is>
          <ns0:t>[0, 1, 2, 3, 4, 5, 6, 7, 8, 9, 10, 11, 12, 13, 14, 15, 16, 17, 18, 19]</ns0:t>
        </ns0:is>
      </ns0:c>
      <ns0:c r="R21" s="4" t="inlineStr">
        <ns0:is>
          <ns0:t>[0.05, 0.05, 0.05, 0.05, 0.05, 0.05, 0.05, 0.05, 0.05, 0.05, 0.05, 0.05, 0.05, 0.05, 0.05, 0.05, 0.05, 0.05, 0.05, 0.05]</ns0:t>
        </ns0:is>
      </ns0:c>
      <ns0:c r="S21" s="4" t="inlineStr">
        <ns0:is>
          <ns0:t>port</ns0:t>
        </ns0:is>
      </ns0:c>
      <ns0:c r="T21" s="4" t="inlineStr">
        <ns0:is>
          <ns0:t>Purchased natural-gas heat: 6.28 MJ/kg gross CO2 captured, uniformly allocated across operation. This supplier already includes heat production. Confirm that the separate natural-gas input does not duplicate its fuel demand.</ns0:t>
        </ns0:is>
      </ns0:c>
    </ns0:row>
    <ns0:row r="22" ht="82" customHeight="1">
      <ns0:c r="A22" s="4" t="inlineStr">
        <ns0:is>
          <ns0:t>Carbon dioxide, in air</ns0:t>
        </ns0:is>
      </ns0:c>
      <ns0:c r="B22" s="5" t="n">
        <ns0:v>20000000000</ns0:v>
      </ns0:c>
      <ns0:c r="C22" s="4" t="n"/>
      <ns0:c r="D22" s="4" t="n"/>
      <ns0:c r="E22" s="4" t="n"/>
      <ns0:c r="F22" s="4" t="n"/>
      <ns0:c r="G22" s="4" t="n"/>
      <ns0:c r="H22" s="4" t="inlineStr">
        <ns0:is>
          <ns0:t>natural resource::in air</ns0:t>
        </ns0:is>
      </ns0:c>
      <ns0:c r="I22" s="4" t="inlineStr">
        <ns0:is>
          <ns0:t>kilogram</ns0:t>
        </ns0:is>
      </ns0:c>
      <ns0:c r="J22" s="4" t="inlineStr">
        <ns0:is>
          <ns0:t>biosphere</ns0:t>
        </ns0:is>
      </ns0:c>
      <ns0:c r="K22" s="4" t="n"/>
      <ns0:c r="L22" s="4" t="n">
        <ns0:v>6</ns0:v>
      </ns0:c>
      <ns0:c r="M22" s="4" t="n"/>
      <ns0:c r="N22" s="4" t="n"/>
      <ns0:c r="O22" s="4" t="n">
        <ns0:v>0</ns0:v>
      </ns0:c>
      <ns0:c r="P22" s="4" t="n">
        <ns0:v>19</ns0:v>
      </ns0:c>
      <ns0:c r="Q22" s="4" t="inlineStr">
        <ns0:is>
          <ns0:t>[0, 1, 2, 3, 4, 5, 6, 7, 8, 9, 10, 11, 12, 13, 14, 15, 16, 17, 18, 19]</ns0:t>
        </ns0:is>
      </ns0:c>
      <ns0:c r="R22" s="4" t="inlineStr">
        <ns0:is>
          <ns0:t>[0.05, 0.05, 0.05, 0.05, 0.05, 0.05, 0.05, 0.05, 0.05, 0.05, 0.05, 0.05, 0.05, 0.05, 0.05, 0.05, 0.05, 0.05, 0.05, 0.05]</ns0:t>
        </ns0:is>
      </ns0:c>
      <ns0:c r="S22" s="4" t="inlineStr">
        <ns0:is>
          <ns0:t>port</ns0:t>
        </ns0:is>
      </ns0:c>
      <ns0:c r="T22" s="4" t="inlineStr">
        <ns0:is>
          <ns0:t>Atmospheric uptake: +1 kg CO2/kg gross CO2 captured as a natural-resource extraction. The positive biosphere amount is intentional; the climate characterization supplies the removal sign. Twenty annual 1 Mt pulses for the whole plant; do not negate this amount again.</ns0:t>
        </ns0:is>
      </ns0:c>
    </ns0:row>
    <ns0:row r="23" ht="155" customHeight="1">
      <ns0:c r="A23" s="4" t="inlineStr">
        <ns0:is>
          <ns0:t>Carbon dioxide, non-fossil</ns0:t>
        </ns0:is>
      </ns0:c>
      <ns0:c r="B23" s="5" t="n">
        <ns0:v>2000000000</ns0:v>
      </ns0:c>
      <ns0:c r="C23" s="4" t="n"/>
      <ns0:c r="D23" s="4" t="n"/>
      <ns0:c r="E23" s="4" t="n"/>
      <ns0:c r="F23" s="4" t="n"/>
      <ns0:c r="G23" s="4" t="n"/>
      <ns0:c r="H23" s="4" t="inlineStr">
        <ns0:is>
          <ns0:t>air::non-urban air or from high stacks</ns0:t>
        </ns0:is>
      </ns0:c>
      <ns0:c r="I23" s="4" t="inlineStr">
        <ns0:is>
          <ns0:t>kilogram</ns0:t>
        </ns0:is>
      </ns0:c>
      <ns0:c r="J23" s="4" t="inlineStr">
        <ns0:is>
          <ns0:t>biosphere</ns0:t>
        </ns0:is>
      </ns0:c>
      <ns0:c r="K23" s="4" t="n"/>
      <ns0:c r="L23" s="4" t="n">
        <ns0:v>6</ns0:v>
      </ns0:c>
      <ns0:c r="M23" s="4" t="n"/>
      <ns0:c r="N23" s="4" t="n"/>
      <ns0:c r="O23" s="4" t="n">
        <ns0:v>20</ns0:v>
      </ns0:c>
      <ns0:c r="P23" s="4" t="n">
        <ns0:v>119</ns0:v>
      </ns0:c>
      <ns0:c r="Q23" s="4" t="inlineStr">
        <ns0:is>
          <ns0:t>[20,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119]</ns0:t>
        </ns0:is>
      </ns0:c>
      <ns0:c r="R23" s="4" t="inlineStr">
        <ns0:is>
          <ns0:t>[0.03994212641147758, 0.038375973233434744, 0.03687122979987634, 0.03542548820027961, 0.034036434939643895, 0.03270184723640499, 0.0314195894655105, 0.03018760974096408, 0.029003936632370088, 0.027866676010224377, 0.02677400801490298, 0.02572418414449844, 0.02471552445684374, 0.023746414881246427, 0.022815304635631133, 0.021920703744957436, 0.02106118065694189, 0.02023535995126895, 0.01944192013862508, 0.01867959154603385, 0.01794715428510834, 0.017243436299969456, 0.016567311491706465, 0.015917697916378492, 0.015293556053673399, 0.014693887143453481, 0.014117731587526203, 0.013564167414082336, 0.013032308802344387, 0.01252130466506435, 0.012030337286602546, 0.01155862101440814, 0.011105401001807454, 0.010669952000088231, 0.010251577197946981, 0.009849607106442226, 0.009463398487669363, 0.00909233332544279, 0.008735817836338157, 0.008393281519512198, 0.008064176243779685, 0.007747975370486573, 0.007444172910775808, 0.0071522827158972055, 0.006871837699265731, 0.006602389089023312, 0.006343505709908126, 0.00609477329328219, 0.005855793814213153, 0.005626184854549498, 0.005405578990969908, 0.005193623207027558, 0.004989978328248498, 0.004794318479380121, 0.004606330562921246, 0.004425713758099309, 0.004252179039492956, 0.004085448714529702, 0.003925255979118573, 0.0037713444907066366, 0.0036234679580762334, 0.003481389747226478, 0.0033448825027083758, 0.0032137277838076, 0.003087715714992742, 0.0029666446500696913, 0.0028503208495046987, 0.0027385581703997927, 0.002631177768624429, 0.0025280078126267273, 0.0024288832084663247, 0.0023336453356288555, 0.002242141793199283, 0.0021542261559879235, 0.002069757740218902, 0.0019886013784060986, 0.0019106272030563322, 0.0018357104388536654, 0.001763731202992278, 0.0016945743133384033, 0.0016281291041143377, 0.0015642892488095888, 0.0015029525900357745, 0.0014440209760530032, 0.0013874001037061552, 0.0013329993675197118, 0.0012807317147096654, 0.0012305135058804926, 0.0011822643811842774, 0.0011359071317278103, 0.001091367576021887, 0.0010485744412750994, 0.0010074592493421633, 0.0009679562071442775, 0.0009300021013861608, 0.0008935361974012915, 0.0008585001419634863, 0.0008248378699092879, 0.0007924955144217416, 0.000761421320831997]</ns0:t>
        </ns0:is>
      </ns0:c>
      <ns0:c r="S23" s="4" t="inlineStr">
        <ns0:is>
          <ns0:t>port</ns0:t>
        </ns0:is>
      </ns0:c>
      <ns0:c r="T23" s="4" t="inlineStr">
        <ns0:is>
          <ns0:t>Illustrative storage stress case: total release = 0.10 x 20 Mt = 2 Mt CO2. No release during operation. For k=0..99 after closure, offset=20+k and weight=exp(-k/25)/sum(exp(-j/25), j=0..99). The finite 100-year profile is normalized to release exactly the stated 10%; no uncounted tail. This is a deterministic release scenario, not a failure probability or calibrated geological model. Remaining 90% is retained within the model, without a claim of perpetual retention. CO2 is originally atmospheric, hence the inherited non-fossil emission flow. IPCC SRCCS ch.5 sec.5.7.3.4 discusses much higher retention for appropriately selected and managed sites: https://archive.ipcc.ch/pdf/special-reports/srccs/srccs_wholereport.pdf</ns0:t>
        </ns0:is>
      </ns0:c>
    </ns0:row>
    <ns0:row r="24" ht="82" customHeight="1">
      <ns0:c r="A24" s="4" t="inlineStr">
        <ns0:is>
          <ns0:t>market for diesel, low-sulfur</ns0:t>
        </ns0:is>
      </ns0:c>
      <ns0:c r="B24" s="5" t="n">
        <ns0:v>240000000</ns0:v>
      </ns0:c>
      <ns0:c r="C24" s="4" t="n"/>
      <ns0:c r="D24" s="4" t="n"/>
      <ns0:c r="E24" s="4" t="n"/>
      <ns0:c r="F24" s="4" t="n"/>
      <ns0:c r="G24" s="4" t="inlineStr">
        <ns0:is>
          <ns0:t>Europe without Switzerland</ns0:t>
        </ns0:is>
      </ns0:c>
      <ns0:c r="H24" s="4" t="n"/>
      <ns0:c r="I24" s="4" t="inlineStr">
        <ns0:is>
          <ns0:t>kilogram</ns0:t>
        </ns0:is>
      </ns0:c>
      <ns0:c r="J24" s="4" t="inlineStr">
        <ns0:is>
          <ns0:t>technosphere</ns0:t>
        </ns0:is>
      </ns0:c>
      <ns0:c r="K24" s="4" t="inlineStr">
        <ns0:is>
          <ns0:t>diesel, low-sulfur</ns0:t>
        </ns0:is>
      </ns0:c>
      <ns0:c r="L24" s="4" t="n">
        <ns0:v>6</ns0:v>
      </ns0:c>
      <ns0:c r="M24" s="4" t="n"/>
      <ns0:c r="N24" s="4" t="n"/>
      <ns0:c r="O24" s="4" t="n">
        <ns0:v>0</ns0:v>
      </ns0:c>
      <ns0:c r="P24" s="4" t="n">
        <ns0:v>19</ns0:v>
      </ns0:c>
      <ns0:c r="Q24" s="4" t="inlineStr">
        <ns0:is>
          <ns0:t>[0, 1, 2, 3, 4, 5, 6, 7, 8, 9, 10, 11, 12, 13, 14, 15, 16, 17, 18, 19]</ns0:t>
        </ns0:is>
      </ns0:c>
      <ns0:c r="R24" s="4" t="inlineStr">
        <ns0:is>
          <ns0:t>[0.05, 0.05, 0.05, 0.05, 0.05, 0.05, 0.05, 0.05, 0.05, 0.05, 0.05, 0.05, 0.05, 0.05, 0.05, 0.05, 0.05, 0.05, 0.05, 0.05]</ns0:t>
        </ns0:is>
      </ns0:c>
      <ns0:c r="S24" s="4" t="inlineStr">
        <ns0:is>
          <ns0:t>port</ns0:t>
        </ns0:is>
      </ns0:c>
      <ns0:c r="T24" s="4" t="inlineStr">
        <ns0:is>
          <ns0:t>Inherited service/maintenance fuel input: 0.012 kg diesel/kg gross CO2 captured, uniformly assigned to operation. This market supplies fuel; it does not establish a complete vehicle-use or on-site combustion inventory. Do not interpret the amount as verified transport work.</ns0:t>
        </ns0:is>
      </ns0:c>
    </ns0:row>
    <ns0:row r="25" ht="82" customHeight="1">
      <ns0:c r="A25" s="4" t="inlineStr">
        <ns0:is>
          <ns0:t>market group for electricity, low voltage</ns0:t>
        </ns0:is>
      </ns0:c>
      <ns0:c r="B25" s="5" t="n">
        <ns0:v>360000000</ns0:v>
      </ns0:c>
      <ns0:c r="C25" s="4" t="n"/>
      <ns0:c r="D25" s="4" t="n"/>
      <ns0:c r="E25" s="4" t="n"/>
      <ns0:c r="F25" s="4" t="n"/>
      <ns0:c r="G25" s="4" t="inlineStr">
        <ns0:is>
          <ns0:t>RER</ns0:t>
        </ns0:is>
      </ns0:c>
      <ns0:c r="H25" s="4" t="n"/>
      <ns0:c r="I25" s="4" t="inlineStr">
        <ns0:is>
          <ns0:t>kilowatt hour</ns0:t>
        </ns0:is>
      </ns0:c>
      <ns0:c r="J25" s="4" t="inlineStr">
        <ns0:is>
          <ns0:t>technosphere</ns0:t>
        </ns0:is>
      </ns0:c>
      <ns0:c r="K25" s="4" t="inlineStr">
        <ns0:is>
          <ns0:t>electricity, low voltage</ns0:t>
        </ns0:is>
      </ns0:c>
      <ns0:c r="L25" s="4" t="n">
        <ns0:v>6</ns0:v>
      </ns0:c>
      <ns0:c r="M25" s="4" t="n"/>
      <ns0:c r="N25" s="4" t="n"/>
      <ns0:c r="O25" s="4" t="n">
        <ns0:v>0</ns0:v>
      </ns0:c>
      <ns0:c r="P25" s="4" t="n">
        <ns0:v>19</ns0:v>
      </ns0:c>
      <ns0:c r="Q25" s="4" t="inlineStr">
        <ns0:is>
          <ns0:t>[0, 1, 2, 3, 4, 5, 6, 7, 8, 9, 10, 11, 12, 13, 14, 15, 16, 17, 18, 19]</ns0:t>
        </ns0:is>
      </ns0:c>
      <ns0:c r="R25" s="4" t="inlineStr">
        <ns0:is>
          <ns0:t>[0.05, 0.05, 0.05, 0.05, 0.05, 0.05, 0.05, 0.05, 0.05, 0.05, 0.05, 0.05, 0.05, 0.05, 0.05, 0.05, 0.05, 0.05, 0.05, 0.05]</ns0:t>
        </ns0:is>
      </ns0:c>
      <ns0:c r="S25" s="4" t="inlineStr">
        <ns0:is>
          <ns0:t>port</ns0:t>
        </ns0:is>
      </ns0:c>
      <ns0:c r="T25" s="4" t="inlineStr">
        <ns0:is>
          <ns0:t>Inherited auxiliary electricity: 0.018 kWh/kg gross CO2 captured, uniformly assigned to operation. Confirm that these auxiliaries are excluded from the 0.345 kWh/kg medium-voltage input before using the model as a plant assessment.</ns0:t>
        </ns0:is>
      </ns0:c>
    </ns0:row>
    <ns0:row r="26" ht="82" customHeight="1">
      <ns0:c r="A26" s="4" t="inlineStr">
        <ns0:is>
          <ns0:t>market for natural gas, high pressure</ns0:t>
        </ns0:is>
      </ns0:c>
      <ns0:c r="B26" s="5" t="n">
        <ns0:v>2200000000</ns0:v>
      </ns0:c>
      <ns0:c r="C26" s="4" t="n"/>
      <ns0:c r="D26" s="4" t="n"/>
      <ns0:c r="E26" s="4" t="n"/>
      <ns0:c r="F26" s="4" t="n"/>
      <ns0:c r="G26" s="4" t="inlineStr">
        <ns0:is>
          <ns0:t>RoW</ns0:t>
        </ns0:is>
      </ns0:c>
      <ns0:c r="H26" s="4" t="n"/>
      <ns0:c r="I26" s="4" t="inlineStr">
        <ns0:is>
          <ns0:t>cubic meter</ns0:t>
        </ns0:is>
      </ns0:c>
      <ns0:c r="J26" s="4" t="inlineStr">
        <ns0:is>
          <ns0:t>technosphere</ns0:t>
        </ns0:is>
      </ns0:c>
      <ns0:c r="K26" s="4" t="inlineStr">
        <ns0:is>
          <ns0:t>natural gas, high pressure</ns0:t>
        </ns0:is>
      </ns0:c>
      <ns0:c r="L26" s="4" t="n">
        <ns0:v>6</ns0:v>
      </ns0:c>
      <ns0:c r="M26" s="4" t="n"/>
      <ns0:c r="N26" s="4" t="n"/>
      <ns0:c r="O26" s="4" t="n">
        <ns0:v>0</ns0:v>
      </ns0:c>
      <ns0:c r="P26" s="4" t="n">
        <ns0:v>19</ns0:v>
      </ns0:c>
      <ns0:c r="Q26" s="4" t="inlineStr">
        <ns0:is>
          <ns0:t>[0, 1, 2, 3, 4, 5, 6, 7, 8, 9, 10, 11, 12, 13, 14, 15, 16, 17, 18, 19]</ns0:t>
        </ns0:is>
      </ns0:c>
      <ns0:c r="R26" s="4" t="inlineStr">
        <ns0:is>
          <ns0:t>[0.05, 0.05, 0.05, 0.05, 0.05, 0.05, 0.05, 0.05, 0.05, 0.05, 0.05, 0.05, 0.05, 0.05, 0.05, 0.05, 0.05, 0.05, 0.05, 0.05]</ns0:t>
        </ns0:is>
      </ns0:c>
      <ns0:c r="S26" s="4" t="inlineStr">
        <ns0:is>
          <ns0:t>port</ns0:t>
        </ns0:is>
      </ns0:c>
      <ns0:c r="T26" s="4" t="inlineStr">
        <ns0:is>
          <ns0:t>Inherited additional natural-gas input: 0.11 m3/kg gross CO2 captured. Uniform operation is a neutral timing placeholder; startup and contingency frequencies are unknown. This market alone does not model combustion. Additional fuel use, fossil CO2, and overlap with purchased heat need verification.</ns0:t>
        </ns0:is>
      </ns0:c>
    </ns0:row>
    <ns0:row r="27" ht="82" customHeight="1">
      <ns0:c r="A27" s="4" t="inlineStr">
        <ns0:is>
          <ns0:t>Methane, fossil</ns0:t>
        </ns0:is>
      </ns0:c>
      <ns0:c r="B27" s="5" t="n">
        <ns0:v>10400000</ns0:v>
      </ns0:c>
      <ns0:c r="C27" s="4" t="n"/>
      <ns0:c r="D27" s="4" t="n"/>
      <ns0:c r="E27" s="4" t="n"/>
      <ns0:c r="F27" s="4" t="n"/>
      <ns0:c r="G27" s="4" t="n"/>
      <ns0:c r="H27" s="4" t="inlineStr">
        <ns0:is>
          <ns0:t>air::non-urban air or from high stacks</ns0:t>
        </ns0:is>
      </ns0:c>
      <ns0:c r="I27" s="4" t="inlineStr">
        <ns0:is>
          <ns0:t>kilogram</ns0:t>
        </ns0:is>
      </ns0:c>
      <ns0:c r="J27" s="4" t="inlineStr">
        <ns0:is>
          <ns0:t>biosphere</ns0:t>
        </ns0:is>
      </ns0:c>
      <ns0:c r="K27" s="4" t="n"/>
      <ns0:c r="L27" s="4" t="n">
        <ns0:v>6</ns0:v>
      </ns0:c>
      <ns0:c r="M27" s="4" t="n"/>
      <ns0:c r="N27" s="4" t="n"/>
      <ns0:c r="O27" s="4" t="n">
        <ns0:v>0</ns0:v>
      </ns0:c>
      <ns0:c r="P27" s="4" t="n">
        <ns0:v>19</ns0:v>
      </ns0:c>
      <ns0:c r="Q27" s="4" t="inlineStr">
        <ns0:is>
          <ns0:t>[0, 1, 2, 3, 4, 5, 6, 7, 8, 9, 10, 11, 12, 13, 14, 15, 16, 17, 18, 19]</ns0:t>
        </ns0:is>
      </ns0:c>
      <ns0:c r="R27" s="4" t="inlineStr">
        <ns0:is>
          <ns0:t>[0.05, 0.05, 0.05, 0.05, 0.05, 0.05, 0.05, 0.05, 0.05, 0.05, 0.05, 0.05, 0.05, 0.05, 0.05, 0.05, 0.05, 0.05, 0.05, 0.05]</ns0:t>
        </ns0:is>
      </ns0:c>
      <ns0:c r="S27" s="4" t="inlineStr">
        <ns0:is>
          <ns0:t>port</ns0:t>
        </ns0:is>
      </ns0:c>
      <ns0:c r="T27" s="4" t="inlineStr">
        <ns0:is>
          <ns0:t>Inherited direct methane: 0.00052 kg/kg gross CO2 captured, spread over operation. No verified equipment or emission-factor source was supplied. If intended to represent upstream fuel leakage, this may duplicate emissions in fuel and heat suppliers; retained pending boundary evidence.</ns0:t>
        </ns0:is>
      </ns0:c>
    </ns0:row>
    <ns0:row r="28" ht="82" customHeight="1">
      <ns0:c r="A28" s="4" t="inlineStr">
        <ns0:is>
          <ns0:t>Dinitrogen monoxide</ns0:t>
        </ns0:is>
      </ns0:c>
      <ns0:c r="B28" s="5" t="n">
        <ns0:v>1600000</ns0:v>
      </ns0:c>
      <ns0:c r="C28" s="4" t="n"/>
      <ns0:c r="D28" s="4" t="n"/>
      <ns0:c r="E28" s="4" t="n"/>
      <ns0:c r="F28" s="4" t="n"/>
      <ns0:c r="G28" s="4" t="n"/>
      <ns0:c r="H28" s="4" t="inlineStr">
        <ns0:is>
          <ns0:t>air::non-urban air or from high stacks</ns0:t>
        </ns0:is>
      </ns0:c>
      <ns0:c r="I28" s="4" t="inlineStr">
        <ns0:is>
          <ns0:t>kilogram</ns0:t>
        </ns0:is>
      </ns0:c>
      <ns0:c r="J28" s="4" t="inlineStr">
        <ns0:is>
          <ns0:t>biosphere</ns0:t>
        </ns0:is>
      </ns0:c>
      <ns0:c r="K28" s="4" t="n"/>
      <ns0:c r="L28" s="4" t="n">
        <ns0:v>6</ns0:v>
      </ns0:c>
      <ns0:c r="M28" s="4" t="n"/>
      <ns0:c r="N28" s="4" t="n"/>
      <ns0:c r="O28" s="4" t="n">
        <ns0:v>0</ns0:v>
      </ns0:c>
      <ns0:c r="P28" s="4" t="n">
        <ns0:v>19</ns0:v>
      </ns0:c>
      <ns0:c r="Q28" s="4" t="inlineStr">
        <ns0:is>
          <ns0:t>[0, 1, 2, 3, 4, 5, 6, 7, 8, 9, 10, 11, 12, 13, 14, 15, 16, 17, 18, 19]</ns0:t>
        </ns0:is>
      </ns0:c>
      <ns0:c r="R28" s="4" t="inlineStr">
        <ns0:is>
          <ns0:t>[0.05, 0.05, 0.05, 0.05, 0.05, 0.05, 0.05, 0.05, 0.05, 0.05, 0.05, 0.05, 0.05, 0.05, 0.05, 0.05, 0.05, 0.05, 0.05, 0.05]</ns0:t>
        </ns0:is>
      </ns0:c>
      <ns0:c r="S28" s="4" t="inlineStr">
        <ns0:is>
          <ns0:t>port</ns0:t>
        </ns0:is>
      </ns0:c>
      <ns0:c r="T28" s="4" t="inlineStr">
        <ns0:is>
          <ns0:t>Inherited direct N2O: 0.00008 kg/kg gross CO2 captured, spread over operation. No verified combustion technology or emission-factor source was supplied. Confirm that this is a separate on-site emission and not already represented by the heat supplier.</ns0:t>
        </ns0:is>
      </ns0:c>
    </ns0:row>
    <ns0:row r="31">
      <ns0:c r="B31" s="6" t="n"/>
    </ns0:row>
  </ns0:sheetData>
  <ns0:autoFilter ref="A11:T28"/>
  <ns0:pageMargins left="0.75" right="0.75" top="1" bottom="1" header="0.5" footer="0.5"/>
  <ns0:legacyDrawing ns1:id="anysvml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Solvent DACCS: temporal storage stress case</dc:title>
  <dc:description xmlns:dc="http://purl.org/dc/elements/1.1/">Timing revision 2026-09-13; see companion Markdown documentation.</dc:description>
  <dcterms:created xmlns:dcterms="http://purl.org/dc/terms/" xmlns:xsi="http://www.w3.org/2001/XMLSchema-instance" xsi:type="dcterms:W3CDTF">2026-02-23T09:55:43Z</dcterms:created>
  <dcterms:modified xmlns:dcterms="http://purl.org/dc/terms/" xmlns:xsi="http://www.w3.org/2001/XMLSchema-instance" xsi:type="dcterms:W3CDTF">2026-09-13T13:15:07Z</dcterms:modified>
  <cp:lastModifiedBy>Sacchi, Romain</cp:lastModifiedBy>
</cp:coreProperties>
</file>